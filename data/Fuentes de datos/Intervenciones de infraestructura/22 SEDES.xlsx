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perez\Documents\"/>
    </mc:Choice>
  </mc:AlternateContent>
  <bookViews>
    <workbookView xWindow="0" yWindow="0" windowWidth="20490" windowHeight="7530"/>
  </bookViews>
  <sheets>
    <sheet name="Hoja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H19" i="1" s="1"/>
  <c r="L7" i="1" s="1"/>
  <c r="M7" i="1" s="1"/>
  <c r="I13" i="1"/>
  <c r="J13" i="1" s="1"/>
  <c r="G13" i="1"/>
  <c r="E13" i="1"/>
  <c r="H12" i="1"/>
  <c r="F12" i="1"/>
  <c r="H11" i="1"/>
  <c r="H13" i="1" s="1"/>
  <c r="F11" i="1"/>
  <c r="I8" i="1"/>
  <c r="H8" i="1"/>
  <c r="G8" i="1"/>
  <c r="E8" i="1"/>
  <c r="F6" i="1" s="1"/>
  <c r="I7" i="1"/>
  <c r="J7" i="1" s="1"/>
  <c r="F7" i="1"/>
  <c r="I6" i="1"/>
  <c r="J6" i="1" s="1"/>
  <c r="I5" i="1"/>
  <c r="J5" i="1" s="1"/>
  <c r="F5" i="1"/>
  <c r="I4" i="1"/>
  <c r="J4" i="1" s="1"/>
  <c r="F4" i="1"/>
  <c r="J8" i="1" l="1"/>
  <c r="H17" i="1"/>
  <c r="L5" i="1" s="1"/>
  <c r="M5" i="1" s="1"/>
  <c r="H16" i="1"/>
  <c r="L4" i="1" s="1"/>
  <c r="M4" i="1" s="1"/>
  <c r="H18" i="1"/>
  <c r="L6" i="1" s="1"/>
  <c r="M6" i="1" s="1"/>
</calcChain>
</file>

<file path=xl/sharedStrings.xml><?xml version="1.0" encoding="utf-8"?>
<sst xmlns="http://schemas.openxmlformats.org/spreadsheetml/2006/main" count="14" uniqueCount="8">
  <si>
    <t>OBRA</t>
  </si>
  <si>
    <t>TOTAL</t>
  </si>
  <si>
    <t>SALDO</t>
  </si>
  <si>
    <t>LOTE 1</t>
  </si>
  <si>
    <t>LOTE 2</t>
  </si>
  <si>
    <t>LOTE 3</t>
  </si>
  <si>
    <t>LOTE 4</t>
  </si>
  <si>
    <t>INTERVENTORIA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</si>
</sst>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164" fontId="0" fillId="0" borderId="0" xfId="1" applyFont="1" applyAlignment="1">
      <alignment horizontal="right"/>
    </xf>
    <xf numFmtId="9" fontId="0" fillId="0" borderId="0" xfId="2" applyFont="1"/>
    <xf numFmtId="43" fontId="0" fillId="0" borderId="0" xfId="0" applyNumberFormat="1"/>
    <xf numFmtId="4" fontId="0" fillId="0" borderId="0" xfId="0" applyNumberFormat="1"/>
    <xf numFmtId="164" fontId="2" fillId="0" borderId="0" xfId="0" applyNumberFormat="1" applyFont="1"/>
    <xf numFmtId="43" fontId="2" fillId="0" borderId="0" xfId="0" applyNumberFormat="1" applyFont="1"/>
    <xf numFmtId="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9" fontId="0" fillId="0" borderId="0" xfId="2" applyNumberFormat="1" applyFont="1"/>
    <xf numFmtId="165" fontId="0" fillId="0" borderId="0" xfId="2" applyNumberFormat="1" applyFont="1"/>
    <xf numFmtId="165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M20"/>
  <sheetViews>
    <sheetView tabSelected="1" topLeftCell="D1" workbookViewId="0">
      <selection activeCell="L16" sqref="L16"/>
    </sheetView>
  </sheetViews>
  <sheetFormatPr baseColWidth="10" defaultRowHeight="15" x14ac:dyDescent="0.25"/>
  <cols>
    <col min="4" max="4" width="16.28515625" customWidth="1"/>
    <col min="5" max="5" width="16.85546875" customWidth="1"/>
    <col min="6" max="6" width="11.42578125" customWidth="1"/>
    <col min="7" max="7" width="17.28515625" customWidth="1"/>
    <col min="8" max="8" width="16.85546875" customWidth="1"/>
    <col min="9" max="9" width="18" customWidth="1"/>
    <col min="10" max="10" width="16.7109375" customWidth="1"/>
    <col min="11" max="11" width="18.28515625" customWidth="1"/>
    <col min="12" max="12" width="15.140625" bestFit="1" customWidth="1"/>
    <col min="13" max="13" width="14.140625" bestFit="1" customWidth="1"/>
  </cols>
  <sheetData>
    <row r="3" spans="4:13" x14ac:dyDescent="0.25">
      <c r="D3" t="s">
        <v>0</v>
      </c>
      <c r="G3">
        <v>2025</v>
      </c>
      <c r="H3">
        <v>2026</v>
      </c>
      <c r="I3" s="1" t="s">
        <v>1</v>
      </c>
      <c r="J3" s="1" t="s">
        <v>2</v>
      </c>
    </row>
    <row r="4" spans="4:13" x14ac:dyDescent="0.25">
      <c r="D4" t="s">
        <v>3</v>
      </c>
      <c r="E4" s="2">
        <v>2709591630</v>
      </c>
      <c r="F4" s="3">
        <f>+E4/$E$8</f>
        <v>0.28522017187917914</v>
      </c>
      <c r="G4" s="4">
        <v>945986179</v>
      </c>
      <c r="H4" s="5">
        <v>1619416206</v>
      </c>
      <c r="I4" s="5">
        <f>+G4+H4</f>
        <v>2565402385</v>
      </c>
      <c r="J4" s="5">
        <f>+E4-I4</f>
        <v>144189245</v>
      </c>
      <c r="K4" s="5"/>
      <c r="L4" s="4">
        <f>+ROUND(H16*$G$8,0)</f>
        <v>963783683</v>
      </c>
      <c r="M4" s="4">
        <f>+G4-L4</f>
        <v>-17797504</v>
      </c>
    </row>
    <row r="5" spans="4:13" x14ac:dyDescent="0.25">
      <c r="D5" t="s">
        <v>4</v>
      </c>
      <c r="E5" s="2">
        <v>2340696555</v>
      </c>
      <c r="F5" s="3">
        <f t="shared" ref="F5:F7" si="0">+E5/$E$8</f>
        <v>0.24638911131198854</v>
      </c>
      <c r="G5" s="4">
        <v>817195686</v>
      </c>
      <c r="H5" s="5">
        <v>1352474439</v>
      </c>
      <c r="I5" s="5">
        <f>+G5+H5</f>
        <v>2169670125</v>
      </c>
      <c r="J5" s="5">
        <f>+E5-I5</f>
        <v>171026430</v>
      </c>
      <c r="K5" s="5"/>
      <c r="L5" s="4">
        <f t="shared" ref="L5:L7" si="1">+ROUND(H17*$G$8,0)</f>
        <v>815112934</v>
      </c>
      <c r="M5" s="4">
        <f t="shared" ref="M5:M7" si="2">+G5-L5</f>
        <v>2082752</v>
      </c>
    </row>
    <row r="6" spans="4:13" x14ac:dyDescent="0.25">
      <c r="D6" t="s">
        <v>5</v>
      </c>
      <c r="E6" s="2">
        <v>2282860712</v>
      </c>
      <c r="F6" s="3">
        <f t="shared" si="0"/>
        <v>0.24030112783189592</v>
      </c>
      <c r="G6" s="4">
        <v>797003747</v>
      </c>
      <c r="H6" s="5">
        <v>1247069881</v>
      </c>
      <c r="I6" s="5">
        <f>+G6+H6</f>
        <v>2044073628</v>
      </c>
      <c r="J6" s="5">
        <f>+E6-I6</f>
        <v>238787084</v>
      </c>
      <c r="K6" s="5"/>
      <c r="L6" s="4">
        <f t="shared" si="1"/>
        <v>767928190</v>
      </c>
      <c r="M6" s="4">
        <f t="shared" si="2"/>
        <v>29075557</v>
      </c>
    </row>
    <row r="7" spans="4:13" x14ac:dyDescent="0.25">
      <c r="D7" t="s">
        <v>6</v>
      </c>
      <c r="E7" s="2">
        <v>2166851093</v>
      </c>
      <c r="F7" s="3">
        <f t="shared" si="0"/>
        <v>0.2280895889769364</v>
      </c>
      <c r="G7" s="4">
        <v>756501888</v>
      </c>
      <c r="H7" s="5">
        <v>1292721005</v>
      </c>
      <c r="I7" s="5">
        <f>+G7+H7</f>
        <v>2049222893</v>
      </c>
      <c r="J7" s="5">
        <f>+E7-I7</f>
        <v>117628200</v>
      </c>
      <c r="K7" s="5"/>
      <c r="L7" s="4">
        <f t="shared" si="1"/>
        <v>769862693</v>
      </c>
      <c r="M7" s="4">
        <f t="shared" si="2"/>
        <v>-13360805</v>
      </c>
    </row>
    <row r="8" spans="4:13" x14ac:dyDescent="0.25">
      <c r="E8" s="6">
        <f>SUM(E4:E7)</f>
        <v>9499999990</v>
      </c>
      <c r="G8" s="7">
        <f>SUM(G4:G7)</f>
        <v>3316687500</v>
      </c>
      <c r="H8" s="7">
        <f>SUM(H4:H7)</f>
        <v>5511681531</v>
      </c>
      <c r="I8" s="8">
        <f>+G8+H8</f>
        <v>8828369031</v>
      </c>
      <c r="J8" s="8">
        <f>SUM(J4:J7)</f>
        <v>671630959</v>
      </c>
    </row>
    <row r="10" spans="4:13" x14ac:dyDescent="0.25">
      <c r="D10" t="s">
        <v>7</v>
      </c>
      <c r="G10">
        <v>2025</v>
      </c>
      <c r="H10">
        <v>2026</v>
      </c>
      <c r="I10" s="1" t="s">
        <v>1</v>
      </c>
      <c r="J10" s="1" t="s">
        <v>2</v>
      </c>
    </row>
    <row r="11" spans="4:13" x14ac:dyDescent="0.25">
      <c r="D11" t="s">
        <v>3</v>
      </c>
      <c r="E11" s="9">
        <v>487644278</v>
      </c>
      <c r="F11" s="3">
        <f>+E11/$E$13</f>
        <v>0.51330976091252878</v>
      </c>
      <c r="G11" s="9">
        <v>170248806.76465729</v>
      </c>
      <c r="H11" s="9">
        <f>+E11-G11</f>
        <v>317395471.23534274</v>
      </c>
      <c r="I11" s="5">
        <v>487644278</v>
      </c>
      <c r="J11" s="9"/>
      <c r="K11" s="8">
        <v>610573599</v>
      </c>
      <c r="L11" t="s">
        <v>0</v>
      </c>
    </row>
    <row r="12" spans="4:13" x14ac:dyDescent="0.25">
      <c r="D12" t="s">
        <v>4</v>
      </c>
      <c r="E12" s="9">
        <v>462355732</v>
      </c>
      <c r="F12" s="3">
        <f>+E12/$E$13</f>
        <v>0.48669023908747117</v>
      </c>
      <c r="G12" s="9">
        <v>161419943.23534271</v>
      </c>
      <c r="H12" s="9">
        <f>+E12-G12</f>
        <v>300935788.76465726</v>
      </c>
      <c r="I12" s="5">
        <v>462355732</v>
      </c>
      <c r="J12" s="9"/>
      <c r="K12" s="5">
        <v>61057360</v>
      </c>
      <c r="L12" t="s">
        <v>7</v>
      </c>
    </row>
    <row r="13" spans="4:13" x14ac:dyDescent="0.25">
      <c r="E13" s="9">
        <f>SUM(E11:E12)</f>
        <v>950000010</v>
      </c>
      <c r="G13" s="10">
        <f>+G11+G12</f>
        <v>331668750</v>
      </c>
      <c r="H13" s="10">
        <f>+H11+H12</f>
        <v>618331260</v>
      </c>
      <c r="I13" s="8">
        <f>SUM(I11:I12)</f>
        <v>950000010</v>
      </c>
      <c r="J13" s="11">
        <f>+I13/E8</f>
        <v>0.10000000115789474</v>
      </c>
    </row>
    <row r="15" spans="4:13" x14ac:dyDescent="0.25">
      <c r="G15" s="9"/>
      <c r="I15" s="9"/>
    </row>
    <row r="16" spans="4:13" x14ac:dyDescent="0.25">
      <c r="G16" s="9">
        <v>2565402385</v>
      </c>
      <c r="H16" s="12">
        <f>+G16/$G$20</f>
        <v>0.29058621994525002</v>
      </c>
      <c r="I16" s="12">
        <v>0.28522017187917914</v>
      </c>
      <c r="J16" s="13"/>
    </row>
    <row r="17" spans="7:10" x14ac:dyDescent="0.25">
      <c r="G17" s="9">
        <v>2169670125</v>
      </c>
      <c r="H17" s="12">
        <f t="shared" ref="H17:H19" si="3">+G17/$G$20</f>
        <v>0.24576114992264192</v>
      </c>
      <c r="I17" s="12">
        <v>0.24638911131198854</v>
      </c>
      <c r="J17" s="13"/>
    </row>
    <row r="18" spans="7:10" x14ac:dyDescent="0.25">
      <c r="G18" s="9">
        <v>2044073628</v>
      </c>
      <c r="H18" s="12">
        <f t="shared" si="3"/>
        <v>0.23153468333985869</v>
      </c>
      <c r="I18" s="12">
        <v>0.24030112783189592</v>
      </c>
      <c r="J18" s="13"/>
    </row>
    <row r="19" spans="7:10" x14ac:dyDescent="0.25">
      <c r="G19" s="9">
        <v>2049222893</v>
      </c>
      <c r="H19" s="12">
        <f t="shared" si="3"/>
        <v>0.23211794679224937</v>
      </c>
      <c r="I19" s="12">
        <v>0.2280895889769364</v>
      </c>
      <c r="J19" s="13"/>
    </row>
    <row r="20" spans="7:10" x14ac:dyDescent="0.25">
      <c r="G20" s="10">
        <f>SUM(G16:G19)</f>
        <v>8828369031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PEREZ LOPEZ</dc:creator>
  <cp:lastModifiedBy>CARLOS ALBERTO PEREZ LOPEZ</cp:lastModifiedBy>
  <dcterms:created xsi:type="dcterms:W3CDTF">2026-02-17T21:42:32Z</dcterms:created>
  <dcterms:modified xsi:type="dcterms:W3CDTF">2026-02-17T21:42:51Z</dcterms:modified>
</cp:coreProperties>
</file>